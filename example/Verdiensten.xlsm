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0" autoFilterDateGrouping="1"/>
  </bookViews>
  <sheets>
    <sheet name="Gegevens" sheetId="1" state="visible" r:id="rId1"/>
    <sheet name="Invoer" sheetId="2" state="visible" r:id="rId2"/>
  </sheets>
  <definedNames>
    <definedName name="AmountInput">Invoer!$B$6</definedName>
    <definedName name="DescInput">Invoer!$B$8</definedName>
    <definedName name="TypeInput">Invoer!$B$4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0&quot; €&quot;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i val="1"/>
      <color rgb="FF666666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4F6FA"/>
        <bgColor indexed="64"/>
      </patternFill>
    </fill>
    <fill>
      <patternFill patternType="solid">
        <fgColor rgb="FFFFFDF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pivotButton="0" quotePrefix="0" xfId="0"/>
    <xf numFmtId="164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left"/>
    </xf>
    <xf numFmtId="0" fontId="2" fillId="0" borderId="0" pivotButton="0" quotePrefix="0" xfId="0"/>
    <xf numFmtId="164" fontId="2" fillId="0" borderId="0" pivotButton="0" quotePrefix="0" xfId="0"/>
    <xf numFmtId="0" fontId="3" fillId="0" borderId="0" pivotButton="0" quotePrefix="0" xfId="0"/>
    <xf numFmtId="0" fontId="2" fillId="0" borderId="0" applyAlignment="1" pivotButton="0" quotePrefix="0" xfId="0">
      <alignment horizontal="left" vertical="center"/>
    </xf>
    <xf numFmtId="0" fontId="0" fillId="3" borderId="1" pivotButton="0" quotePrefix="0" xfId="0"/>
    <xf numFmtId="0" fontId="0" fillId="3" borderId="1" applyAlignment="1" pivotButton="0" quotePrefix="0" xfId="0">
      <alignment wrapText="1"/>
    </xf>
    <xf numFmtId="0" fontId="0" fillId="0" borderId="0" applyAlignment="1" pivotButton="0" quotePrefix="0" xfId="0">
      <alignment wrapText="1"/>
    </xf>
  </cellXfs>
  <cellStyles count="1"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B8F00"/>
      </font>
    </dxf>
    <dxf>
      <font>
        <color rgb="FFC0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ables/table1.xml><?xml version="1.0" encoding="utf-8"?>
<table xmlns="http://schemas.openxmlformats.org/spreadsheetml/2006/main" id="1" name="tblGegevens" displayName="tblGegevens" ref="A2:C76" headerRowCount="1" totalsRowShown="0">
  <autoFilter ref="A2:C76"/>
  <tableColumns count="3">
    <tableColumn id="1" name="Type"/>
    <tableColumn id="2" name="Bedrag"/>
    <tableColumn id="3" name="Beschrijving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77"/>
  <sheetViews>
    <sheetView tabSelected="1" workbookViewId="0">
      <pane ySplit="2" topLeftCell="A59" activePane="bottomLeft" state="frozen"/>
      <selection pane="bottomLeft" activeCell="F63" sqref="F63"/>
    </sheetView>
  </sheetViews>
  <sheetFormatPr baseColWidth="8" defaultRowHeight="15"/>
  <cols>
    <col width="16.7109375" customWidth="1" min="1" max="1"/>
    <col width="16.7109375" customWidth="1" style="1" min="2" max="2"/>
    <col width="40.7109375" customWidth="1" min="3" max="3"/>
    <col width="28.7109375" customWidth="1" min="5" max="6"/>
  </cols>
  <sheetData>
    <row r="1" ht="21.95" customHeight="1">
      <c r="A1" s="2" t="inlineStr">
        <is>
          <t>Alle gegevens</t>
        </is>
      </c>
    </row>
    <row r="2">
      <c r="A2" t="inlineStr">
        <is>
          <t>Type</t>
        </is>
      </c>
      <c r="B2" s="1" t="inlineStr">
        <is>
          <t>Bedrag</t>
        </is>
      </c>
      <c r="C2" t="inlineStr">
        <is>
          <t>Beschrijving</t>
        </is>
      </c>
      <c r="E2" s="3" t="inlineStr">
        <is>
          <t>Samenvatting</t>
        </is>
      </c>
      <c r="F2" s="5">
        <f>SUM(tblGegevens[Bedrag])</f>
        <v/>
      </c>
    </row>
    <row r="3">
      <c r="A3" t="inlineStr">
        <is>
          <t>Gekocht</t>
        </is>
      </c>
      <c r="B3" s="1" t="n">
        <v>-25.99</v>
      </c>
      <c r="C3" t="inlineStr">
        <is>
          <t>Inkoop Accessoires</t>
        </is>
      </c>
      <c r="E3" s="4" t="inlineStr">
        <is>
          <t>Totale opbrengst (Verkocht):</t>
        </is>
      </c>
      <c r="F3" s="1">
        <f>SUMIF(tblGegevens[Type],"Verkocht",tblGegevens[Bedrag])</f>
        <v/>
      </c>
    </row>
    <row r="4">
      <c r="A4" t="inlineStr">
        <is>
          <t>Gekocht</t>
        </is>
      </c>
      <c r="B4" s="1" t="n">
        <v>-22.66</v>
      </c>
      <c r="C4" t="inlineStr">
        <is>
          <t>Inkoop Accessoires</t>
        </is>
      </c>
      <c r="E4" s="4" t="inlineStr">
        <is>
          <t>Totale kosten (Gekocht):</t>
        </is>
      </c>
      <c r="F4" s="1">
        <f>SUMIF(tblGegevens[Type],"Gekocht",tblGegevens[Bedrag])</f>
        <v/>
      </c>
    </row>
    <row r="5">
      <c r="A5" t="inlineStr">
        <is>
          <t>Gekocht</t>
        </is>
      </c>
      <c r="B5" s="1" t="n">
        <v>-43.9</v>
      </c>
      <c r="C5" t="inlineStr">
        <is>
          <t>Inkoop Accessoires</t>
        </is>
      </c>
      <c r="E5" s="4" t="inlineStr">
        <is>
          <t>Winst / Verlies:</t>
        </is>
      </c>
      <c r="F5" s="5">
        <f>SUM(tblGegevens[Bedrag])</f>
        <v/>
      </c>
    </row>
    <row r="6">
      <c r="A6" t="inlineStr">
        <is>
          <t>Gekocht</t>
        </is>
      </c>
      <c r="B6" s="1" t="n">
        <v>-13.95</v>
      </c>
      <c r="C6" t="inlineStr">
        <is>
          <t>Inkoop Accessoires</t>
        </is>
      </c>
    </row>
    <row r="7">
      <c r="A7" t="inlineStr">
        <is>
          <t>Gekocht</t>
        </is>
      </c>
      <c r="B7" s="1" t="n">
        <v>-1.39</v>
      </c>
      <c r="C7" t="inlineStr">
        <is>
          <t>Inkoop Accessoires</t>
        </is>
      </c>
    </row>
    <row r="8">
      <c r="A8" t="inlineStr">
        <is>
          <t>Gekocht</t>
        </is>
      </c>
      <c r="B8" s="1" t="n">
        <v>-75.94</v>
      </c>
      <c r="C8" t="inlineStr">
        <is>
          <t>Inkoop Accessoires</t>
        </is>
      </c>
    </row>
    <row r="9">
      <c r="A9" t="inlineStr">
        <is>
          <t>Gekocht</t>
        </is>
      </c>
      <c r="B9" s="1" t="n">
        <v>-12.94</v>
      </c>
      <c r="C9" t="inlineStr">
        <is>
          <t>Inkoop Accessoires</t>
        </is>
      </c>
    </row>
    <row r="10">
      <c r="A10" t="inlineStr">
        <is>
          <t>Verkocht</t>
        </is>
      </c>
      <c r="B10" s="1" t="n">
        <v>6.5</v>
      </c>
      <c r="C10" t="inlineStr">
        <is>
          <t>Vinted</t>
        </is>
      </c>
    </row>
    <row r="11">
      <c r="A11" t="inlineStr">
        <is>
          <t>Verkocht</t>
        </is>
      </c>
      <c r="B11" s="1" t="n">
        <v>30</v>
      </c>
      <c r="C11" t="inlineStr">
        <is>
          <t>Vinted</t>
        </is>
      </c>
    </row>
    <row r="12">
      <c r="A12" t="inlineStr">
        <is>
          <t>Verkocht</t>
        </is>
      </c>
      <c r="B12" s="1" t="n">
        <v>3</v>
      </c>
      <c r="C12" t="inlineStr">
        <is>
          <t>Vinted</t>
        </is>
      </c>
    </row>
    <row r="13">
      <c r="A13" t="inlineStr">
        <is>
          <t>Verkocht</t>
        </is>
      </c>
      <c r="B13" s="1" t="n">
        <v>4.5</v>
      </c>
      <c r="C13" t="inlineStr">
        <is>
          <t>Vinted</t>
        </is>
      </c>
    </row>
    <row r="14">
      <c r="A14" t="inlineStr">
        <is>
          <t>Verkocht</t>
        </is>
      </c>
      <c r="B14" s="1" t="n">
        <v>40</v>
      </c>
      <c r="C14" t="inlineStr">
        <is>
          <t>Vinted</t>
        </is>
      </c>
    </row>
    <row r="15">
      <c r="A15" t="inlineStr">
        <is>
          <t>Verkocht</t>
        </is>
      </c>
      <c r="B15" s="1" t="n">
        <v>42</v>
      </c>
      <c r="C15" t="inlineStr">
        <is>
          <t>Vinted</t>
        </is>
      </c>
    </row>
    <row r="16">
      <c r="A16" t="inlineStr">
        <is>
          <t>Verkocht</t>
        </is>
      </c>
      <c r="B16" s="1" t="n">
        <v>9</v>
      </c>
      <c r="C16" t="inlineStr">
        <is>
          <t>Vinted</t>
        </is>
      </c>
    </row>
    <row r="17">
      <c r="A17" t="inlineStr">
        <is>
          <t>Verkocht</t>
        </is>
      </c>
      <c r="B17" s="1" t="n">
        <v>15</v>
      </c>
      <c r="C17" t="inlineStr">
        <is>
          <t>Vinted</t>
        </is>
      </c>
    </row>
    <row r="18">
      <c r="A18" t="inlineStr">
        <is>
          <t>Verkocht</t>
        </is>
      </c>
      <c r="B18" s="1" t="n">
        <v>2.5</v>
      </c>
      <c r="C18" t="inlineStr">
        <is>
          <t>Vinted</t>
        </is>
      </c>
    </row>
    <row r="19">
      <c r="A19" t="inlineStr">
        <is>
          <t>Gekocht</t>
        </is>
      </c>
      <c r="B19" s="1" t="n">
        <v>-59.49</v>
      </c>
      <c r="C19" t="inlineStr">
        <is>
          <t>Vinted Inkoop</t>
        </is>
      </c>
    </row>
    <row r="20">
      <c r="A20" t="inlineStr">
        <is>
          <t>Verkocht</t>
        </is>
      </c>
      <c r="B20" s="1" t="n">
        <v>15</v>
      </c>
      <c r="C20" t="inlineStr">
        <is>
          <t>Vinted</t>
        </is>
      </c>
    </row>
    <row r="21">
      <c r="A21" t="inlineStr">
        <is>
          <t>Verkocht</t>
        </is>
      </c>
      <c r="B21" s="1" t="n">
        <v>8</v>
      </c>
      <c r="C21" t="inlineStr">
        <is>
          <t>Chloe</t>
        </is>
      </c>
    </row>
    <row r="22">
      <c r="A22" t="inlineStr">
        <is>
          <t>Verkocht</t>
        </is>
      </c>
      <c r="B22" s="1" t="n">
        <v>22.5</v>
      </c>
      <c r="C22" t="inlineStr">
        <is>
          <t>Vinted</t>
        </is>
      </c>
    </row>
    <row r="23">
      <c r="A23" t="inlineStr">
        <is>
          <t>Gekocht</t>
        </is>
      </c>
      <c r="B23" s="1" t="n">
        <v>-32.45</v>
      </c>
      <c r="C23" t="inlineStr">
        <is>
          <t>Marktplaats Inkoop</t>
        </is>
      </c>
    </row>
    <row r="24">
      <c r="A24" t="inlineStr">
        <is>
          <t>Verkocht</t>
        </is>
      </c>
      <c r="B24" s="1" t="n">
        <v>3.8</v>
      </c>
      <c r="C24" t="inlineStr">
        <is>
          <t>Vinted</t>
        </is>
      </c>
    </row>
    <row r="25">
      <c r="A25" t="inlineStr">
        <is>
          <t>Verkocht</t>
        </is>
      </c>
      <c r="B25" s="1" t="n">
        <v>23.8</v>
      </c>
      <c r="C25" t="inlineStr">
        <is>
          <t>Vinted</t>
        </is>
      </c>
    </row>
    <row r="26">
      <c r="A26" t="inlineStr">
        <is>
          <t>Verkocht</t>
        </is>
      </c>
      <c r="B26" s="1" t="n">
        <v>6.3</v>
      </c>
      <c r="C26" t="inlineStr">
        <is>
          <t>Vinted</t>
        </is>
      </c>
    </row>
    <row r="27">
      <c r="A27" t="inlineStr">
        <is>
          <t>Verkocht</t>
        </is>
      </c>
      <c r="B27" s="1" t="n">
        <v>15</v>
      </c>
      <c r="C27" t="inlineStr">
        <is>
          <t>Vinted (telefoon)</t>
        </is>
      </c>
    </row>
    <row r="28">
      <c r="A28" t="inlineStr">
        <is>
          <t>Verkocht</t>
        </is>
      </c>
      <c r="B28" s="1" t="n">
        <v>25</v>
      </c>
      <c r="C28" t="inlineStr">
        <is>
          <t>Vinted</t>
        </is>
      </c>
    </row>
    <row r="29">
      <c r="A29" t="inlineStr">
        <is>
          <t>Gekocht</t>
        </is>
      </c>
      <c r="B29" s="1" t="n">
        <v>-60.54</v>
      </c>
      <c r="C29" t="inlineStr">
        <is>
          <t>Vinted Inkoop</t>
        </is>
      </c>
    </row>
    <row r="30">
      <c r="A30" t="inlineStr">
        <is>
          <t>Verkocht</t>
        </is>
      </c>
      <c r="B30" s="1" t="n">
        <v>21.67</v>
      </c>
      <c r="C30" t="inlineStr">
        <is>
          <t>Vinted</t>
        </is>
      </c>
    </row>
    <row r="31">
      <c r="A31" t="inlineStr">
        <is>
          <t>Gekocht</t>
        </is>
      </c>
      <c r="B31" s="1" t="n">
        <v>-7.5</v>
      </c>
      <c r="C31" t="inlineStr">
        <is>
          <t>Verrekening</t>
        </is>
      </c>
    </row>
    <row r="32">
      <c r="A32" t="inlineStr">
        <is>
          <t>Verkocht</t>
        </is>
      </c>
      <c r="B32" s="1" t="n">
        <v>20</v>
      </c>
      <c r="C32" t="inlineStr">
        <is>
          <t>Koen</t>
        </is>
      </c>
    </row>
    <row r="33">
      <c r="A33" t="inlineStr">
        <is>
          <t>Verkocht</t>
        </is>
      </c>
      <c r="B33" s="1" t="n">
        <v>5</v>
      </c>
      <c r="C33" t="inlineStr">
        <is>
          <t>Koen</t>
        </is>
      </c>
    </row>
    <row r="34">
      <c r="A34" t="inlineStr">
        <is>
          <t>Gekocht</t>
        </is>
      </c>
      <c r="B34" s="1" t="n">
        <v>-40</v>
      </c>
      <c r="C34" t="inlineStr">
        <is>
          <t>Vinted Inkoop</t>
        </is>
      </c>
    </row>
    <row r="35">
      <c r="A35" t="inlineStr">
        <is>
          <t>Verkocht</t>
        </is>
      </c>
      <c r="B35" s="1" t="n">
        <v>6.65</v>
      </c>
      <c r="C35" t="inlineStr">
        <is>
          <t>Vinted</t>
        </is>
      </c>
    </row>
    <row r="36">
      <c r="A36" t="inlineStr">
        <is>
          <t>Gekocht</t>
        </is>
      </c>
      <c r="B36" s="1" t="n">
        <v>-7.2</v>
      </c>
      <c r="C36" t="inlineStr">
        <is>
          <t>Vinted Inkoop</t>
        </is>
      </c>
    </row>
    <row r="37">
      <c r="A37" t="inlineStr">
        <is>
          <t>Verkocht</t>
        </is>
      </c>
      <c r="B37" s="1" t="n">
        <v>8</v>
      </c>
      <c r="C37" t="inlineStr">
        <is>
          <t>Vinted</t>
        </is>
      </c>
    </row>
    <row r="38">
      <c r="A38" t="inlineStr">
        <is>
          <t>Verkocht</t>
        </is>
      </c>
      <c r="B38" s="1" t="n">
        <v>20.4</v>
      </c>
      <c r="C38" t="inlineStr">
        <is>
          <t>Vinted</t>
        </is>
      </c>
    </row>
    <row r="39">
      <c r="A39" t="inlineStr">
        <is>
          <t>Gekocht</t>
        </is>
      </c>
      <c r="B39" s="1" t="n">
        <v>-28.69</v>
      </c>
      <c r="C39" t="inlineStr">
        <is>
          <t>Vinted Inkoop</t>
        </is>
      </c>
    </row>
    <row r="40">
      <c r="A40" t="inlineStr">
        <is>
          <t>Gekocht</t>
        </is>
      </c>
      <c r="B40" s="1" t="n">
        <v>-217.69</v>
      </c>
      <c r="C40" t="inlineStr">
        <is>
          <t>Vinted Inkoop</t>
        </is>
      </c>
    </row>
    <row r="41">
      <c r="A41" t="inlineStr">
        <is>
          <t>Verkocht</t>
        </is>
      </c>
      <c r="B41" s="1" t="n">
        <v>18</v>
      </c>
      <c r="C41" t="inlineStr">
        <is>
          <t>Vinted</t>
        </is>
      </c>
    </row>
    <row r="42">
      <c r="A42" t="inlineStr">
        <is>
          <t>Verkocht</t>
        </is>
      </c>
      <c r="B42" s="1" t="n">
        <v>12</v>
      </c>
      <c r="C42" t="inlineStr">
        <is>
          <t>Vinted</t>
        </is>
      </c>
    </row>
    <row r="43">
      <c r="A43" t="inlineStr">
        <is>
          <t>Verkocht</t>
        </is>
      </c>
      <c r="B43" s="1" t="n">
        <v>4</v>
      </c>
      <c r="C43" t="inlineStr">
        <is>
          <t>Vinted</t>
        </is>
      </c>
    </row>
    <row r="44">
      <c r="A44" t="inlineStr">
        <is>
          <t>Verkocht</t>
        </is>
      </c>
      <c r="B44" s="1" t="n">
        <v>13</v>
      </c>
      <c r="C44" t="inlineStr">
        <is>
          <t>Vinted</t>
        </is>
      </c>
    </row>
    <row r="45">
      <c r="A45" t="inlineStr">
        <is>
          <t>Verkocht</t>
        </is>
      </c>
      <c r="B45" s="1" t="n">
        <v>2</v>
      </c>
      <c r="C45" t="inlineStr">
        <is>
          <t>Koen</t>
        </is>
      </c>
    </row>
    <row r="46">
      <c r="A46" t="inlineStr">
        <is>
          <t>Verkocht</t>
        </is>
      </c>
      <c r="B46" s="1" t="n">
        <v>3</v>
      </c>
      <c r="C46" t="inlineStr">
        <is>
          <t>Vinted</t>
        </is>
      </c>
    </row>
    <row r="47">
      <c r="A47" t="inlineStr">
        <is>
          <t>Verkocht</t>
        </is>
      </c>
      <c r="B47" s="1" t="n">
        <v>3</v>
      </c>
      <c r="C47" t="inlineStr">
        <is>
          <t>Vinted</t>
        </is>
      </c>
    </row>
    <row r="48">
      <c r="A48" t="inlineStr">
        <is>
          <t>Verkocht</t>
        </is>
      </c>
      <c r="B48" s="1" t="n">
        <v>30</v>
      </c>
      <c r="C48" t="inlineStr">
        <is>
          <t>Koen</t>
        </is>
      </c>
    </row>
    <row r="49">
      <c r="A49" t="inlineStr">
        <is>
          <t>Verkocht</t>
        </is>
      </c>
      <c r="B49" s="1" t="n">
        <v>60</v>
      </c>
      <c r="C49" t="inlineStr">
        <is>
          <t>Koen</t>
        </is>
      </c>
    </row>
    <row r="50">
      <c r="A50" t="inlineStr">
        <is>
          <t>Verkocht</t>
        </is>
      </c>
      <c r="B50" s="1" t="n">
        <v>8</v>
      </c>
      <c r="C50" t="inlineStr">
        <is>
          <t>Vinted</t>
        </is>
      </c>
    </row>
    <row r="51">
      <c r="A51" t="inlineStr">
        <is>
          <t>Verkocht</t>
        </is>
      </c>
      <c r="B51" s="1" t="n">
        <v>45</v>
      </c>
      <c r="C51" t="inlineStr">
        <is>
          <t>Vinted</t>
        </is>
      </c>
    </row>
    <row r="52">
      <c r="A52" t="inlineStr">
        <is>
          <t>Verkocht</t>
        </is>
      </c>
      <c r="B52" s="1" t="n">
        <v>100</v>
      </c>
      <c r="C52" t="inlineStr">
        <is>
          <t>Inruil A2Toys</t>
        </is>
      </c>
    </row>
    <row r="53">
      <c r="A53" t="inlineStr">
        <is>
          <t>Gekocht</t>
        </is>
      </c>
      <c r="B53" s="1" t="n">
        <v>-36.96</v>
      </c>
      <c r="C53" t="inlineStr">
        <is>
          <t>Vinted Inkoop</t>
        </is>
      </c>
    </row>
    <row r="54">
      <c r="A54" t="inlineStr">
        <is>
          <t>Gekocht</t>
        </is>
      </c>
      <c r="B54" s="1" t="n">
        <v>-10.94</v>
      </c>
      <c r="C54" t="inlineStr">
        <is>
          <t>Vinted Inkoop</t>
        </is>
      </c>
    </row>
    <row r="55">
      <c r="A55" t="inlineStr">
        <is>
          <t>Gekocht</t>
        </is>
      </c>
      <c r="B55" s="1" t="n">
        <v>-16.72</v>
      </c>
      <c r="C55" t="inlineStr">
        <is>
          <t>Vinted Inkoop</t>
        </is>
      </c>
    </row>
    <row r="56">
      <c r="A56" t="inlineStr">
        <is>
          <t>Gekocht</t>
        </is>
      </c>
      <c r="B56" s="1" t="n">
        <v>-300</v>
      </c>
      <c r="C56" t="inlineStr">
        <is>
          <t>Inkoop Delano</t>
        </is>
      </c>
    </row>
    <row r="57">
      <c r="A57" t="inlineStr">
        <is>
          <t>Verkocht</t>
        </is>
      </c>
      <c r="B57" s="1" t="n">
        <v>244.4</v>
      </c>
      <c r="C57" t="inlineStr">
        <is>
          <t>Trade-in Coevorden</t>
        </is>
      </c>
    </row>
    <row r="58">
      <c r="A58" t="inlineStr">
        <is>
          <t>Gekocht</t>
        </is>
      </c>
      <c r="B58" s="1" t="n">
        <v>-60</v>
      </c>
      <c r="C58" t="inlineStr">
        <is>
          <t>Bulk Inkoop Koningsdag</t>
        </is>
      </c>
    </row>
    <row r="59" ht="45" customHeight="1">
      <c r="A59" t="inlineStr">
        <is>
          <t>Gekocht</t>
        </is>
      </c>
      <c r="B59" s="1" t="n">
        <v>-17.5</v>
      </c>
      <c r="C59" s="10" t="inlineStr">
        <is>
          <t>Turtwig (MEP 040)
Chimchar (MEP 041)
Piplup (MEP 042)</t>
        </is>
      </c>
    </row>
    <row r="60">
      <c r="A60" t="inlineStr">
        <is>
          <t>Verkocht</t>
        </is>
      </c>
      <c r="B60" s="1" t="n">
        <v>40</v>
      </c>
      <c r="C60" t="inlineStr">
        <is>
          <t>Contant Coevorden</t>
        </is>
      </c>
    </row>
    <row r="61" ht="45" customHeight="1">
      <c r="A61" t="inlineStr">
        <is>
          <t>Verkocht</t>
        </is>
      </c>
      <c r="B61" s="1" t="n">
        <v>32</v>
      </c>
      <c r="C61" s="10" t="inlineStr">
        <is>
          <t>Turtwig (MEP 040)
Chimchar (MEP 041)
Piplup (MEP 042)</t>
        </is>
      </c>
    </row>
    <row r="62">
      <c r="A62" t="inlineStr">
        <is>
          <t>Verkocht</t>
        </is>
      </c>
      <c r="B62" s="1" t="n">
        <v>10</v>
      </c>
      <c r="C62" s="10" t="inlineStr">
        <is>
          <t>Koen</t>
        </is>
      </c>
    </row>
    <row r="63">
      <c r="A63" t="inlineStr">
        <is>
          <t>Verkocht</t>
        </is>
      </c>
      <c r="B63" s="1" t="n">
        <v>10</v>
      </c>
      <c r="C63" s="10" t="inlineStr">
        <is>
          <t>Ryan</t>
        </is>
      </c>
    </row>
    <row r="64">
      <c r="A64" t="inlineStr">
        <is>
          <t>Verkocht</t>
        </is>
      </c>
      <c r="B64" s="1" t="n">
        <v>16</v>
      </c>
      <c r="C64" s="10" t="inlineStr">
        <is>
          <t>Tharma</t>
        </is>
      </c>
    </row>
    <row r="65">
      <c r="A65" t="inlineStr">
        <is>
          <t>Verkocht</t>
        </is>
      </c>
      <c r="B65" s="1" t="n">
        <v>40</v>
      </c>
      <c r="C65" s="10" t="inlineStr">
        <is>
          <t>Koen</t>
        </is>
      </c>
    </row>
    <row r="66">
      <c r="A66" t="inlineStr">
        <is>
          <t>Verkocht</t>
        </is>
      </c>
      <c r="B66" s="1" t="n">
        <v>35</v>
      </c>
      <c r="C66" s="10" t="inlineStr">
        <is>
          <t>Koen</t>
        </is>
      </c>
    </row>
    <row r="67" ht="30" customHeight="1">
      <c r="A67" t="inlineStr">
        <is>
          <t>Verkocht</t>
        </is>
      </c>
      <c r="B67" s="1" t="n">
        <v>24</v>
      </c>
      <c r="C67" s="10" t="inlineStr">
        <is>
          <t>Gyarados Lv.52 (STF 19)
Psyduck Lv.19 (PL 87)</t>
        </is>
      </c>
    </row>
    <row r="68">
      <c r="A68" t="inlineStr">
        <is>
          <t>Gekocht</t>
        </is>
      </c>
      <c r="B68" s="1" t="n">
        <v>-57.5</v>
      </c>
      <c r="C68" s="10" t="inlineStr">
        <is>
          <t>5x 123inkt huismerk DK-11202 verzendlabel</t>
        </is>
      </c>
    </row>
    <row r="69" ht="30" customHeight="1">
      <c r="A69" t="inlineStr">
        <is>
          <t>Gekocht</t>
        </is>
      </c>
      <c r="B69" s="1" t="n">
        <v>-100.5</v>
      </c>
      <c r="C69" s="10" t="inlineStr">
        <is>
          <t xml:space="preserve">Brother QL-700 labelprinter bundel met 5 rollen </t>
        </is>
      </c>
    </row>
    <row r="70">
      <c r="A70" t="inlineStr">
        <is>
          <t>Verkocht</t>
        </is>
      </c>
      <c r="B70" s="1" t="n">
        <v>4</v>
      </c>
      <c r="C70" s="10" t="inlineStr">
        <is>
          <t>Piplup Lv.6 (POP9 16)</t>
        </is>
      </c>
    </row>
    <row r="71" ht="45" customHeight="1">
      <c r="A71" t="inlineStr">
        <is>
          <t>Verkocht</t>
        </is>
      </c>
      <c r="B71" s="1" t="n">
        <v>9.9</v>
      </c>
      <c r="C71" s="10" t="inlineStr">
        <is>
          <t>Budew Lv.8 (STF 33)
Happiny Lv.8 (POP8 14)
Hoppip (AQ 83)</t>
        </is>
      </c>
    </row>
    <row r="72">
      <c r="A72" t="inlineStr">
        <is>
          <t>Verkocht</t>
        </is>
      </c>
      <c r="B72" s="1" t="n">
        <v>2</v>
      </c>
      <c r="C72" s="10" t="inlineStr">
        <is>
          <t>Magikarp (HS 72)</t>
        </is>
      </c>
    </row>
    <row r="73" ht="75" customHeight="1">
      <c r="A73" t="inlineStr">
        <is>
          <t>Verkocht</t>
        </is>
      </c>
      <c r="B73" s="1" t="n">
        <v>18.5</v>
      </c>
      <c r="C73" s="10" t="inlineStr">
        <is>
          <t>Flareon Lv.38 (RR 19)
Nidoking Lv.59 (RR 29)
Igglybuff (CG 21)
Psyduck δ Delta Species (HP 81)
Flareon [4] Lv.55 (RR 60)</t>
        </is>
      </c>
    </row>
    <row r="74">
      <c r="A74" t="inlineStr">
        <is>
          <t>Gekocht</t>
        </is>
      </c>
      <c r="B74" s="1" t="n">
        <v>-58.73</v>
      </c>
      <c r="C74" s="10" t="inlineStr">
        <is>
          <t>Vinted Inkoop</t>
        </is>
      </c>
    </row>
    <row r="75">
      <c r="A75" t="inlineStr">
        <is>
          <t>Verkocht</t>
        </is>
      </c>
      <c r="B75" s="1" t="n">
        <v>2</v>
      </c>
      <c r="C75" s="10" t="inlineStr">
        <is>
          <t>Pikachu (MCD25 25)</t>
        </is>
      </c>
    </row>
    <row r="76" ht="30" customHeight="1">
      <c r="A76" t="inlineStr">
        <is>
          <t>Verkocht</t>
        </is>
      </c>
      <c r="B76" s="1" t="n">
        <v>8</v>
      </c>
      <c r="C76" s="10" t="inlineStr">
        <is>
          <t>Roserade [C] Lv.58 (SV 40)
Spiritomb [C] Lv.58 (SV 84)</t>
        </is>
      </c>
    </row>
    <row r="77"/>
  </sheetData>
  <conditionalFormatting sqref="B3:B100039">
    <cfRule type="cellIs" priority="7" operator="lessThan" dxfId="7">
      <formula>0</formula>
    </cfRule>
    <cfRule type="cellIs" priority="8" operator="greaterThan" dxfId="6">
      <formula>0</formula>
    </cfRule>
  </conditionalFormatting>
  <conditionalFormatting sqref="F5">
    <cfRule type="cellIs" priority="4" operator="equal" dxfId="2">
      <formula>0</formula>
    </cfRule>
    <cfRule type="cellIs" priority="5" operator="lessThan" dxfId="1">
      <formula>0</formula>
    </cfRule>
    <cfRule type="cellIs" priority="6" operator="greaterThan" dxfId="0">
      <formula>0</formula>
    </cfRule>
  </conditionalFormatting>
  <conditionalFormatting sqref="F2">
    <cfRule type="cellIs" priority="1" operator="equal" dxfId="2">
      <formula>0</formula>
    </cfRule>
    <cfRule type="cellIs" priority="2" operator="lessThan" dxfId="1">
      <formula>0</formula>
    </cfRule>
    <cfRule type="cellIs" priority="3" operator="greaterThan" dxfId="0">
      <formula>0</formula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14"/>
  <sheetViews>
    <sheetView workbookViewId="0">
      <selection activeCell="B18" sqref="B17:B18"/>
    </sheetView>
  </sheetViews>
  <sheetFormatPr baseColWidth="8" defaultRowHeight="15"/>
  <cols>
    <col width="30.7109375" customWidth="1" min="1" max="1"/>
    <col width="44.7109375" customWidth="1" min="2" max="2"/>
  </cols>
  <sheetData>
    <row r="1" ht="26.1" customHeight="1">
      <c r="A1" s="2" t="inlineStr">
        <is>
          <t>Nieuwe invoer</t>
        </is>
      </c>
    </row>
    <row r="2">
      <c r="A2" s="6" t="inlineStr">
        <is>
          <t>Voer hieronder de gegevens in en klik daarna op de knop 'Voeg toe'.</t>
        </is>
      </c>
    </row>
    <row r="4">
      <c r="A4" s="7" t="inlineStr">
        <is>
          <t>Type</t>
        </is>
      </c>
      <c r="B4" s="8" t="n"/>
    </row>
    <row r="6">
      <c r="A6" s="7" t="inlineStr">
        <is>
          <t>Bedrag</t>
        </is>
      </c>
      <c r="B6" s="8" t="n"/>
    </row>
    <row r="8">
      <c r="A8" s="7" t="inlineStr">
        <is>
          <t>Kanaal/Beschrijving</t>
        </is>
      </c>
      <c r="B8" s="9" t="n"/>
    </row>
    <row r="11">
      <c r="A11" s="4" t="inlineStr">
        <is>
          <t>Tips</t>
        </is>
      </c>
    </row>
    <row r="12">
      <c r="A12" s="6" t="inlineStr">
        <is>
          <t>• Bedrag wordt automatisch negatief als 'Type' = Gekocht.</t>
        </is>
      </c>
    </row>
    <row r="13">
      <c r="A13" s="6" t="inlineStr">
        <is>
          <t>• De samenvatting op 'Gegevens' werkt automatisch mee.</t>
        </is>
      </c>
    </row>
    <row r="14">
      <c r="A14" s="6" t="inlineStr">
        <is>
          <t>• Klik op 'MaakKnop' (macro) om een nette knop toe te voegen.</t>
        </is>
      </c>
    </row>
  </sheetData>
  <dataValidations count="2">
    <dataValidation sqref="B4" showDropDown="0" showInputMessage="1" showErrorMessage="1" allowBlank="1" type="list">
      <formula1>"Gekocht,Verkocht"</formula1>
    </dataValidation>
    <dataValidation sqref="B6" showDropDown="0" showInputMessage="1" showErrorMessage="1" allowBlank="1" type="decimal" operator="greaterThanOrEqual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2025-09-24T15:09:43Z</dcterms:created>
  <dcterms:modified xsi:type="dcterms:W3CDTF">2026-05-12T20:45:27Z</dcterms:modified>
  <cp:lastModifiedBy>Bram Boelens</cp:lastModifiedBy>
</cp:coreProperties>
</file>